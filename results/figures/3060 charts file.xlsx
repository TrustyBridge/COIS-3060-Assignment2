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<sst xmlns="http://schemas.openxmlformats.org/spreadsheetml/2006/main" count="128" uniqueCount="46">
  <si>
    <t>AOP Repositories — Detailed Metrics  |  Software Engineering Research Study  |  April 2025</t>
  </si>
  <si>
    <t>OOP Repositories — Detailed Metrics  |  Software Engineering Research Study  |  April 2025</t>
  </si>
  <si>
    <t>Metric</t>
  </si>
  <si>
    <t>Category</t>
  </si>
  <si>
    <t>spring-framework</t>
  </si>
  <si>
    <t>aspectj</t>
  </si>
  <si>
    <t>jboss-as</t>
  </si>
  <si>
    <t>quarkus</t>
  </si>
  <si>
    <t>platform_frameworks_base</t>
  </si>
  <si>
    <t>junit5</t>
  </si>
  <si>
    <t>guava</t>
  </si>
  <si>
    <t>commons-lang</t>
  </si>
  <si>
    <t>RxJava</t>
  </si>
  <si>
    <t>retrofit</t>
  </si>
  <si>
    <t>Avg Churn / Commit (cleaned)</t>
  </si>
  <si>
    <t>Cleaned</t>
  </si>
  <si>
    <t>Avg Lines Added (cleaned)</t>
  </si>
  <si>
    <t>Distinct Authors (cleaned)</t>
  </si>
  <si>
    <t>Churn/Commit</t>
  </si>
  <si>
    <t>Lines Added</t>
  </si>
  <si>
    <t>Distinct Authors</t>
  </si>
  <si>
    <t>AOP MEAN</t>
  </si>
  <si>
    <t>AOP MEDIAN</t>
  </si>
  <si>
    <t>AOP StandDev</t>
  </si>
  <si>
    <t>OOP MEAN</t>
  </si>
  <si>
    <t>OOP MEDIAN</t>
  </si>
  <si>
    <t>OOP StandDev</t>
  </si>
  <si>
    <t>Avg Cyclomatic Complexity</t>
  </si>
  <si>
    <t>Product</t>
  </si>
  <si>
    <t>Avg Function Length (NLOC)</t>
  </si>
  <si>
    <t>Size (KB)</t>
  </si>
  <si>
    <t>Avg Complexity</t>
  </si>
  <si>
    <t>Avg Func Length</t>
  </si>
  <si>
    <t>Size(MB)</t>
  </si>
  <si>
    <t>Commits (PyDriller, cleaned)</t>
  </si>
  <si>
    <t>Variable name</t>
  </si>
  <si>
    <t>Min</t>
  </si>
  <si>
    <t>Q1</t>
  </si>
  <si>
    <t>Q3</t>
  </si>
  <si>
    <t>Max</t>
  </si>
  <si>
    <t>AOP Commits</t>
  </si>
  <si>
    <t>OOP Commits</t>
  </si>
  <si>
    <t>AVG Churn/Commit AOP</t>
  </si>
  <si>
    <t>AVG Churn/Commit OOP</t>
  </si>
  <si>
    <t>AVG Complexity AOP</t>
  </si>
  <si>
    <t>AVG Complexity OOP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</si>
</sst>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/>
    <font>
      <b/>
      <color rgb="FFFFFFFF"/>
      <name val="Arial"/>
    </font>
    <font>
      <b/>
      <sz val="9.0"/>
      <color theme="1"/>
      <name val="Arial"/>
    </font>
    <font>
      <i/>
      <sz val="8.0"/>
      <color rgb="FF444444"/>
      <name val="Arial"/>
    </font>
    <font>
      <sz val="9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1B5E20"/>
        <bgColor rgb="FF1B5E20"/>
      </patternFill>
    </fill>
    <fill>
      <patternFill patternType="solid">
        <fgColor rgb="FF212121"/>
        <bgColor rgb="FF212121"/>
      </patternFill>
    </fill>
    <fill>
      <patternFill patternType="solid">
        <fgColor rgb="FFE8F5E9"/>
        <bgColor rgb="FFE8F5E9"/>
      </patternFill>
    </fill>
    <fill>
      <patternFill patternType="solid">
        <fgColor rgb="FFFAFAFA"/>
        <bgColor rgb="FFFAFAFA"/>
      </patternFill>
    </fill>
    <fill>
      <patternFill patternType="solid">
        <fgColor rgb="FFE3F2FD"/>
        <bgColor rgb="FFE3F2FD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000000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4" fillId="4" fontId="3" numFmtId="0" xfId="0" applyAlignment="1" applyBorder="1" applyFill="1" applyFont="1">
      <alignment horizontal="center" shrinkToFit="0" wrapText="1"/>
    </xf>
    <xf borderId="5" fillId="2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shrinkToFit="0" wrapText="1"/>
    </xf>
    <xf borderId="4" fillId="5" fontId="4" numFmtId="0" xfId="0" applyBorder="1" applyFill="1" applyFont="1"/>
    <xf borderId="4" fillId="5" fontId="5" numFmtId="0" xfId="0" applyAlignment="1" applyBorder="1" applyFont="1">
      <alignment horizontal="center" shrinkToFit="0" wrapText="1"/>
    </xf>
    <xf borderId="4" fillId="5" fontId="6" numFmtId="0" xfId="0" applyAlignment="1" applyBorder="1" applyFont="1">
      <alignment horizontal="right"/>
    </xf>
    <xf borderId="4" fillId="5" fontId="6" numFmtId="3" xfId="0" applyAlignment="1" applyBorder="1" applyFont="1" applyNumberFormat="1">
      <alignment horizontal="right"/>
    </xf>
    <xf borderId="0" fillId="0" fontId="7" numFmtId="0" xfId="0" applyAlignment="1" applyFont="1">
      <alignment vertical="bottom"/>
    </xf>
    <xf borderId="4" fillId="6" fontId="4" numFmtId="0" xfId="0" applyBorder="1" applyFill="1" applyFont="1"/>
    <xf borderId="4" fillId="6" fontId="5" numFmtId="0" xfId="0" applyAlignment="1" applyBorder="1" applyFont="1">
      <alignment horizontal="center" shrinkToFit="0" wrapText="1"/>
    </xf>
    <xf borderId="4" fillId="6" fontId="6" numFmtId="0" xfId="0" applyAlignment="1" applyBorder="1" applyFont="1">
      <alignment horizontal="right"/>
    </xf>
    <xf borderId="4" fillId="6" fontId="6" numFmtId="3" xfId="0" applyAlignment="1" applyBorder="1" applyFont="1" applyNumberFormat="1">
      <alignment horizontal="right"/>
    </xf>
    <xf borderId="6" fillId="0" fontId="8" numFmtId="0" xfId="0" applyBorder="1" applyFont="1"/>
    <xf borderId="7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0" fillId="0" fontId="8" numFmtId="0" xfId="0" applyFont="1"/>
    <xf borderId="10" fillId="0" fontId="8" numFmtId="0" xfId="0" applyBorder="1" applyFont="1"/>
    <xf borderId="11" fillId="0" fontId="8" numFmtId="0" xfId="0" applyAlignment="1" applyBorder="1" applyFont="1">
      <alignment readingOrder="0"/>
    </xf>
    <xf borderId="12" fillId="0" fontId="8" numFmtId="0" xfId="0" applyBorder="1" applyFont="1"/>
    <xf borderId="13" fillId="0" fontId="8" numFmtId="0" xfId="0" applyBorder="1" applyFont="1"/>
    <xf borderId="0" fillId="0" fontId="8" numFmtId="3" xfId="0" applyFont="1" applyNumberFormat="1"/>
    <xf borderId="4" fillId="6" fontId="6" numFmtId="4" xfId="0" applyAlignment="1" applyBorder="1" applyFont="1" applyNumberFormat="1">
      <alignment horizontal="right"/>
    </xf>
    <xf borderId="4" fillId="7" fontId="4" numFmtId="0" xfId="0" applyBorder="1" applyFill="1" applyFont="1"/>
    <xf borderId="4" fillId="7" fontId="5" numFmtId="0" xfId="0" applyAlignment="1" applyBorder="1" applyFont="1">
      <alignment horizontal="center" shrinkToFit="0" wrapText="1"/>
    </xf>
    <xf borderId="4" fillId="7" fontId="6" numFmtId="4" xfId="0" applyAlignment="1" applyBorder="1" applyFont="1" applyNumberFormat="1">
      <alignment horizontal="right"/>
    </xf>
    <xf borderId="4" fillId="7" fontId="6" numFmtId="3" xfId="0" applyAlignment="1" applyBorder="1" applyFont="1" applyNumberFormat="1">
      <alignment horizontal="right"/>
    </xf>
    <xf borderId="0" fillId="0" fontId="8" numFmtId="4" xfId="0" applyFont="1" applyNumberFormat="1"/>
    <xf borderId="0" fillId="0" fontId="8" numFmtId="0" xfId="0" applyAlignment="1" applyFont="1">
      <alignment readingOrder="0"/>
    </xf>
    <xf borderId="14" fillId="0" fontId="2" numFmtId="0" xfId="0" applyBorder="1" applyFont="1"/>
    <xf borderId="2" fillId="3" fontId="1" numFmtId="0" xfId="0" applyAlignment="1" applyBorder="1" applyFont="1">
      <alignment horizontal="center" shrinkToFit="0" wrapText="1"/>
    </xf>
    <xf borderId="15" fillId="2" fontId="3" numFmtId="0" xfId="0" applyAlignment="1" applyBorder="1" applyFont="1">
      <alignment horizontal="center" shrinkToFit="0" wrapText="1"/>
    </xf>
    <xf borderId="16" fillId="4" fontId="3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readingOrder="0"/>
    </xf>
    <xf borderId="17" fillId="5" fontId="6" numFmtId="0" xfId="0" applyAlignment="1" applyBorder="1" applyFont="1">
      <alignment horizontal="right"/>
    </xf>
    <xf borderId="16" fillId="5" fontId="4" numFmtId="0" xfId="0" applyAlignment="1" applyBorder="1" applyFont="1">
      <alignment readingOrder="0"/>
    </xf>
    <xf borderId="4" fillId="6" fontId="4" numFmtId="0" xfId="0" applyAlignment="1" applyBorder="1" applyFont="1">
      <alignment readingOrder="0"/>
    </xf>
    <xf borderId="17" fillId="6" fontId="6" numFmtId="4" xfId="0" applyAlignment="1" applyBorder="1" applyFont="1" applyNumberFormat="1">
      <alignment horizontal="right"/>
    </xf>
    <xf borderId="16" fillId="6" fontId="4" numFmtId="0" xfId="0" applyAlignment="1" applyBorder="1" applyFont="1">
      <alignment readingOrder="0"/>
    </xf>
    <xf borderId="12" fillId="0" fontId="8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Comparing updates to Aspect vs Object Oriented Repos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Sheet1!$A$13:$A$18</c:f>
            </c:strRef>
          </c:cat>
          <c:val>
            <c:numRef>
              <c:f>Sheet1!$B$13:$B$18</c:f>
              <c:numCache/>
            </c:numRef>
          </c:val>
        </c:ser>
        <c:ser>
          <c:idx val="1"/>
          <c:order val="1"/>
          <c:tx>
            <c:strRef>
              <c:f>Sheet1!$C$12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Sheet1!$A$13:$A$18</c:f>
            </c:strRef>
          </c:cat>
          <c:val>
            <c:numRef>
              <c:f>Sheet1!$C$13:$C$18</c:f>
              <c:numCache/>
            </c:numRef>
          </c:val>
        </c:ser>
        <c:ser>
          <c:idx val="2"/>
          <c:order val="2"/>
          <c:tx>
            <c:strRef>
              <c:f>Sheet1!$D$12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Sheet1!$A$13:$A$18</c:f>
            </c:strRef>
          </c:cat>
          <c:val>
            <c:numRef>
              <c:f>Sheet1!$D$13:$D$18</c:f>
              <c:numCache/>
            </c:numRef>
          </c:val>
        </c:ser>
        <c:axId val="1844786962"/>
        <c:axId val="558544043"/>
      </c:barChart>
      <c:catAx>
        <c:axId val="1844786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544043"/>
      </c:catAx>
      <c:valAx>
        <c:axId val="558544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786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Comparing Aspect vs Object Oriented repos by complexity and size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Sheet1!$A$41:$A$46</c:f>
            </c:strRef>
          </c:cat>
          <c:val>
            <c:numRef>
              <c:f>Sheet1!$B$41:$B$46</c:f>
              <c:numCache/>
            </c:numRef>
          </c:val>
        </c:ser>
        <c:ser>
          <c:idx val="1"/>
          <c:order val="1"/>
          <c:tx>
            <c:strRef>
              <c:f>Sheet1!$C$40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Sheet1!$A$41:$A$46</c:f>
            </c:strRef>
          </c:cat>
          <c:val>
            <c:numRef>
              <c:f>Sheet1!$C$41:$C$46</c:f>
              <c:numCache/>
            </c:numRef>
          </c:val>
        </c:ser>
        <c:axId val="9103743"/>
        <c:axId val="1081560950"/>
      </c:barChart>
      <c:catAx>
        <c:axId val="9103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560950"/>
      </c:catAx>
      <c:valAx>
        <c:axId val="1081560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3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Comparing average sizes of Aspect vs Object Oriented Repos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Sheet1!$A$41:$A$46</c:f>
            </c:strRef>
          </c:cat>
          <c:val>
            <c:numRef>
              <c:f>Sheet1!$D$41:$D$46</c:f>
              <c:numCache/>
            </c:numRef>
          </c:val>
        </c:ser>
        <c:axId val="1082547591"/>
        <c:axId val="1003000549"/>
      </c:barChart>
      <c:catAx>
        <c:axId val="1082547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000549"/>
      </c:catAx>
      <c:valAx>
        <c:axId val="1003000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547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AOP vs OOP commits</a:t>
            </a:r>
          </a:p>
        </c:rich>
      </c:tx>
      <c:overlay val="0"/>
    </c:title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Sheet1!$A$69:$A$70</c:f>
            </c:strRef>
          </c:cat>
          <c:val>
            <c:numRef>
              <c:f>Sheet1!$C$69:$C$70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Sheet1!$A$69:$A$70</c:f>
            </c:strRef>
          </c:cat>
          <c:val>
            <c:numRef>
              <c:f>Sheet1!$E$69:$E$70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Sheet1!$A$69:$A$70</c:f>
            </c:strRef>
          </c:cat>
          <c:val>
            <c:numRef>
              <c:f>Sheet1!$B$69:$B$70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Sheet1!$A$69:$A$70</c:f>
            </c:strRef>
          </c:cat>
          <c:val>
            <c:numRef>
              <c:f>Sheet1!$D$69:$D$70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565314240"/>
        <c:axId val="285506551"/>
      </c:stockChart>
      <c:dateAx>
        <c:axId val="156531424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506551"/>
      </c:dateAx>
      <c:valAx>
        <c:axId val="285506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314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AOP vs OOP commits (excluding outlier)</a:t>
            </a:r>
          </a:p>
        </c:rich>
      </c:tx>
      <c:overlay val="0"/>
    </c:title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Sheet1!$A$75:$A$76</c:f>
            </c:strRef>
          </c:cat>
          <c:val>
            <c:numRef>
              <c:f>Sheet1!$C$75:$C$76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Sheet1!$A$75:$A$76</c:f>
            </c:strRef>
          </c:cat>
          <c:val>
            <c:numRef>
              <c:f>Sheet1!$E$75:$E$76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Sheet1!$A$75:$A$76</c:f>
            </c:strRef>
          </c:cat>
          <c:val>
            <c:numRef>
              <c:f>Sheet1!$B$75:$B$76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Sheet1!$A$75:$A$76</c:f>
            </c:strRef>
          </c:cat>
          <c:val>
            <c:numRef>
              <c:f>Sheet1!$D$75:$D$76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624608748"/>
        <c:axId val="354213808"/>
      </c:stockChart>
      <c:dateAx>
        <c:axId val="62460874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13808"/>
      </c:dateAx>
      <c:valAx>
        <c:axId val="354213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608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Churn/Commit compared to Complexity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Sheet1!$B$95:$B$96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Sheet1!$A$97:$A$101</c:f>
            </c:numRef>
          </c:xVal>
          <c:yVal>
            <c:numRef>
              <c:f>Sheet1!$B$97:$B$101</c:f>
              <c:numCache/>
            </c:numRef>
          </c:yVal>
        </c:ser>
        <c:ser>
          <c:idx val="1"/>
          <c:order val="1"/>
          <c:tx>
            <c:strRef>
              <c:f>Sheet1!$C$95:$C$96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Sheet1!$A$97:$A$101</c:f>
            </c:numRef>
          </c:xVal>
          <c:yVal>
            <c:numRef>
              <c:f>Sheet1!$C$97:$C$101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475489"/>
        <c:axId val="1602826921"/>
      </c:scatterChart>
      <c:valAx>
        <c:axId val="15914754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Churn/Commit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826921"/>
      </c:valAx>
      <c:valAx>
        <c:axId val="1602826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Cyclomatic Complexity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4754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AOP Average Churn/Commit vs Complexity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Sheet1!$B$95:$B$96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Sheet1!$A$97:$A$101</c:f>
            </c:numRef>
          </c:xVal>
          <c:yVal>
            <c:numRef>
              <c:f>Sheet1!$B$97:$B$101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48915"/>
        <c:axId val="1185917633"/>
      </c:scatterChart>
      <c:valAx>
        <c:axId val="10759489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Churn/Commit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917633"/>
      </c:valAx>
      <c:valAx>
        <c:axId val="1185917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Complexity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948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OOP Average Churn/Commit vs Complexity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Sheet1!$B$102:$B$103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Sheet1!$A$104:$A$108</c:f>
            </c:numRef>
          </c:xVal>
          <c:yVal>
            <c:numRef>
              <c:f>Sheet1!$B$104:$B$108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3124"/>
        <c:axId val="627873078"/>
      </c:scatterChart>
      <c:valAx>
        <c:axId val="793031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Churn/Commit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873078"/>
      </c:valAx>
      <c:valAx>
        <c:axId val="627873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Complexity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03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7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304800</xdr:colOff>
      <xdr:row>35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342900</xdr:colOff>
      <xdr:row>35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295275</xdr:colOff>
      <xdr:row>64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152400</xdr:colOff>
      <xdr:row>64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295275</xdr:colOff>
      <xdr:row>96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266700</xdr:colOff>
      <xdr:row>100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323850</xdr:colOff>
      <xdr:row>100</xdr:row>
      <xdr:rowOff>123825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2"/>
      <c r="L1" s="2"/>
      <c r="M1" s="2"/>
      <c r="N1" s="3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5" t="s">
        <v>2</v>
      </c>
      <c r="I2" s="5" t="s">
        <v>3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>
      <c r="A3" s="8" t="s">
        <v>14</v>
      </c>
      <c r="B3" s="9" t="s">
        <v>15</v>
      </c>
      <c r="C3" s="10">
        <v>261.0</v>
      </c>
      <c r="D3" s="10">
        <v>218.0</v>
      </c>
      <c r="E3" s="10">
        <v>308.0</v>
      </c>
      <c r="F3" s="10">
        <v>388.0</v>
      </c>
      <c r="G3" s="10">
        <v>119.0</v>
      </c>
      <c r="H3" s="8" t="s">
        <v>14</v>
      </c>
      <c r="I3" s="9" t="s">
        <v>15</v>
      </c>
      <c r="J3" s="11">
        <v>142.0</v>
      </c>
      <c r="K3" s="11">
        <v>318.0</v>
      </c>
      <c r="L3" s="11">
        <v>96.0</v>
      </c>
      <c r="M3" s="11">
        <v>228.0</v>
      </c>
      <c r="N3" s="11">
        <v>114.0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3" t="s">
        <v>16</v>
      </c>
      <c r="B4" s="14" t="s">
        <v>15</v>
      </c>
      <c r="C4" s="15">
        <v>171.0</v>
      </c>
      <c r="D4" s="15">
        <v>136.0</v>
      </c>
      <c r="E4" s="15">
        <v>196.0</v>
      </c>
      <c r="F4" s="15">
        <v>258.0</v>
      </c>
      <c r="G4" s="15">
        <v>80.0</v>
      </c>
      <c r="H4" s="13" t="s">
        <v>16</v>
      </c>
      <c r="I4" s="14" t="s">
        <v>15</v>
      </c>
      <c r="J4" s="15">
        <v>92.0</v>
      </c>
      <c r="K4" s="15">
        <v>196.0</v>
      </c>
      <c r="L4" s="15">
        <v>63.0</v>
      </c>
      <c r="M4" s="15">
        <v>145.0</v>
      </c>
      <c r="N4" s="15">
        <v>72.0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3" t="s">
        <v>17</v>
      </c>
      <c r="B5" s="14" t="s">
        <v>15</v>
      </c>
      <c r="C5" s="15">
        <v>860.0</v>
      </c>
      <c r="D5" s="15">
        <v>52.0</v>
      </c>
      <c r="E5" s="15">
        <v>298.0</v>
      </c>
      <c r="F5" s="16">
        <v>1380.0</v>
      </c>
      <c r="G5" s="16">
        <v>1540.0</v>
      </c>
      <c r="H5" s="13" t="s">
        <v>17</v>
      </c>
      <c r="I5" s="14" t="s">
        <v>15</v>
      </c>
      <c r="J5" s="15">
        <v>278.0</v>
      </c>
      <c r="K5" s="15">
        <v>340.0</v>
      </c>
      <c r="L5" s="15">
        <v>188.0</v>
      </c>
      <c r="M5" s="15">
        <v>388.0</v>
      </c>
      <c r="N5" s="15">
        <v>174.0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12">
      <c r="A12" s="17"/>
      <c r="B12" s="18" t="s">
        <v>18</v>
      </c>
      <c r="C12" s="18" t="s">
        <v>19</v>
      </c>
      <c r="D12" s="19" t="s">
        <v>20</v>
      </c>
    </row>
    <row r="13">
      <c r="A13" s="20" t="s">
        <v>21</v>
      </c>
      <c r="B13" s="21">
        <f>AVERAGE(C3:G3)</f>
        <v>258.8</v>
      </c>
      <c r="C13" s="21">
        <f>AVERAGE(C4:G4)</f>
        <v>168.2</v>
      </c>
      <c r="D13" s="22">
        <f>AVERAGE(C5:G5)</f>
        <v>826</v>
      </c>
    </row>
    <row r="14">
      <c r="A14" s="20" t="s">
        <v>22</v>
      </c>
      <c r="B14" s="21">
        <f>MEDIAN(C3:G3)</f>
        <v>261</v>
      </c>
      <c r="C14" s="21">
        <f>MEDIAN(C4:G4)</f>
        <v>171</v>
      </c>
      <c r="D14" s="22">
        <f>MEDIAN(C5:G5)</f>
        <v>860</v>
      </c>
    </row>
    <row r="15">
      <c r="A15" s="23" t="s">
        <v>23</v>
      </c>
      <c r="B15" s="24">
        <f>STDEV(C3:G3)</f>
        <v>100.407669</v>
      </c>
      <c r="C15" s="24">
        <f>STDEV(C4:G4)</f>
        <v>66.44697134</v>
      </c>
      <c r="D15" s="25">
        <f>STDEV(C5:G5)</f>
        <v>651.1006067</v>
      </c>
    </row>
    <row r="16">
      <c r="A16" s="20" t="s">
        <v>24</v>
      </c>
      <c r="B16" s="26">
        <f>AVERAGE(J3:N3)</f>
        <v>179.6</v>
      </c>
      <c r="C16" s="21">
        <f>AVERAGE(J4:N4)</f>
        <v>113.6</v>
      </c>
      <c r="D16" s="22">
        <f>AVERAGE(J5:N5)</f>
        <v>273.6</v>
      </c>
    </row>
    <row r="17">
      <c r="A17" s="20" t="s">
        <v>25</v>
      </c>
      <c r="B17" s="26">
        <f>MEDIAN(J3:N3)</f>
        <v>142</v>
      </c>
      <c r="C17" s="21">
        <f>MEDIAN(J4:N4)</f>
        <v>92</v>
      </c>
      <c r="D17" s="22">
        <f>MEDIAN(J5:N5)</f>
        <v>278</v>
      </c>
    </row>
    <row r="18">
      <c r="A18" s="23" t="s">
        <v>26</v>
      </c>
      <c r="B18" s="24">
        <f>STDEV(J3:N3)</f>
        <v>92.47053585</v>
      </c>
      <c r="C18" s="24">
        <f>STDEV(J4:N4)</f>
        <v>55.97588767</v>
      </c>
      <c r="D18" s="25">
        <f>STDEV(J5:N5)</f>
        <v>93.22446031</v>
      </c>
    </row>
    <row r="29">
      <c r="A29" s="1" t="s">
        <v>0</v>
      </c>
      <c r="B29" s="2"/>
      <c r="C29" s="2"/>
      <c r="D29" s="2"/>
      <c r="E29" s="2"/>
      <c r="F29" s="2"/>
      <c r="G29" s="3"/>
      <c r="H29" s="4" t="s">
        <v>1</v>
      </c>
      <c r="I29" s="2"/>
      <c r="J29" s="2"/>
      <c r="K29" s="2"/>
      <c r="L29" s="2"/>
      <c r="M29" s="2"/>
      <c r="N29" s="3"/>
    </row>
    <row r="30">
      <c r="A30" s="5" t="s">
        <v>2</v>
      </c>
      <c r="B30" s="5" t="s">
        <v>3</v>
      </c>
      <c r="C30" s="6" t="s">
        <v>4</v>
      </c>
      <c r="D30" s="6" t="s">
        <v>5</v>
      </c>
      <c r="E30" s="6" t="s">
        <v>6</v>
      </c>
      <c r="F30" s="6" t="s">
        <v>7</v>
      </c>
      <c r="G30" s="6" t="s">
        <v>8</v>
      </c>
      <c r="H30" s="5" t="s">
        <v>2</v>
      </c>
      <c r="I30" s="5" t="s">
        <v>3</v>
      </c>
      <c r="J30" s="7" t="s">
        <v>9</v>
      </c>
      <c r="K30" s="7" t="s">
        <v>10</v>
      </c>
      <c r="L30" s="7" t="s">
        <v>11</v>
      </c>
      <c r="M30" s="7" t="s">
        <v>12</v>
      </c>
      <c r="N30" s="7" t="s">
        <v>13</v>
      </c>
    </row>
    <row r="31">
      <c r="A31" s="13" t="s">
        <v>27</v>
      </c>
      <c r="B31" s="14" t="s">
        <v>28</v>
      </c>
      <c r="C31" s="27">
        <v>2.8</v>
      </c>
      <c r="D31" s="27">
        <v>3.4</v>
      </c>
      <c r="E31" s="27">
        <v>2.9</v>
      </c>
      <c r="F31" s="27">
        <v>2.4</v>
      </c>
      <c r="G31" s="27">
        <v>3.1</v>
      </c>
      <c r="H31" s="13" t="s">
        <v>27</v>
      </c>
      <c r="I31" s="14" t="s">
        <v>28</v>
      </c>
      <c r="J31" s="27">
        <v>2.2</v>
      </c>
      <c r="K31" s="27">
        <v>2.6</v>
      </c>
      <c r="L31" s="27">
        <v>2.1</v>
      </c>
      <c r="M31" s="27">
        <v>3.2</v>
      </c>
      <c r="N31" s="27">
        <v>2.0</v>
      </c>
      <c r="O31" s="12"/>
    </row>
    <row r="32">
      <c r="A32" s="28" t="s">
        <v>29</v>
      </c>
      <c r="B32" s="29" t="s">
        <v>28</v>
      </c>
      <c r="C32" s="30">
        <v>7.9</v>
      </c>
      <c r="D32" s="30">
        <v>7.4</v>
      </c>
      <c r="E32" s="30">
        <v>9.4</v>
      </c>
      <c r="F32" s="30">
        <v>6.2</v>
      </c>
      <c r="G32" s="30">
        <v>8.8</v>
      </c>
      <c r="H32" s="28" t="s">
        <v>29</v>
      </c>
      <c r="I32" s="29" t="s">
        <v>28</v>
      </c>
      <c r="J32" s="30">
        <v>7.6</v>
      </c>
      <c r="K32" s="30">
        <v>6.9</v>
      </c>
      <c r="L32" s="30">
        <v>7.5</v>
      </c>
      <c r="M32" s="30">
        <v>6.8</v>
      </c>
      <c r="N32" s="30">
        <v>7.5</v>
      </c>
      <c r="O32" s="12"/>
    </row>
    <row r="33">
      <c r="A33" s="28" t="s">
        <v>30</v>
      </c>
      <c r="B33" s="29" t="s">
        <v>28</v>
      </c>
      <c r="C33" s="31">
        <v>318000.0</v>
      </c>
      <c r="D33" s="31">
        <v>42000.0</v>
      </c>
      <c r="E33" s="31">
        <v>195000.0</v>
      </c>
      <c r="F33" s="31">
        <v>892000.0</v>
      </c>
      <c r="G33" s="31">
        <v>1250000.0</v>
      </c>
      <c r="H33" s="28" t="s">
        <v>30</v>
      </c>
      <c r="I33" s="29" t="s">
        <v>28</v>
      </c>
      <c r="J33" s="31">
        <v>16800.0</v>
      </c>
      <c r="K33" s="31">
        <v>44000.0</v>
      </c>
      <c r="L33" s="31">
        <v>8200.0</v>
      </c>
      <c r="M33" s="31">
        <v>27000.0</v>
      </c>
      <c r="N33" s="31">
        <v>5100.0</v>
      </c>
    </row>
    <row r="40">
      <c r="A40" s="17"/>
      <c r="B40" s="18" t="s">
        <v>31</v>
      </c>
      <c r="C40" s="18" t="s">
        <v>32</v>
      </c>
      <c r="D40" s="19" t="s">
        <v>33</v>
      </c>
      <c r="F40" s="21">
        <f>AVERAGE(C33:F33)/1000</f>
        <v>361.75</v>
      </c>
    </row>
    <row r="41">
      <c r="A41" s="20" t="s">
        <v>21</v>
      </c>
      <c r="B41" s="32">
        <f>AVERAGE(C31:G31)</f>
        <v>2.92</v>
      </c>
      <c r="C41" s="32">
        <f>AVERAGE(C32:G32)</f>
        <v>7.94</v>
      </c>
      <c r="D41" s="22">
        <f>AVERAGE(C33:G33)/1000</f>
        <v>539.4</v>
      </c>
    </row>
    <row r="42">
      <c r="A42" s="20" t="s">
        <v>22</v>
      </c>
      <c r="B42" s="32">
        <f>MEDIAN(C31:G31)</f>
        <v>2.9</v>
      </c>
      <c r="C42" s="32">
        <f>MEDIAN(C32:G32)</f>
        <v>7.9</v>
      </c>
      <c r="D42" s="22">
        <f>MEDIAN(C33:G33)/1000</f>
        <v>318</v>
      </c>
    </row>
    <row r="43">
      <c r="A43" s="23" t="s">
        <v>23</v>
      </c>
      <c r="B43" s="24">
        <f>STDEV(C31:G31)</f>
        <v>0.3701351105</v>
      </c>
      <c r="C43" s="24">
        <f>STDEV(C32:G32)</f>
        <v>1.244186481</v>
      </c>
      <c r="D43" s="25">
        <f>STDEV(C33:G33)/1000</f>
        <v>510.9587067</v>
      </c>
    </row>
    <row r="44">
      <c r="A44" s="20" t="s">
        <v>24</v>
      </c>
      <c r="B44" s="32">
        <f>AVERAGE(J31:N31)</f>
        <v>2.42</v>
      </c>
      <c r="C44" s="32">
        <f>AVERAGE(J32:N32)</f>
        <v>7.26</v>
      </c>
      <c r="D44" s="22">
        <f>AVERAGE(J33:N33)/1000</f>
        <v>20.22</v>
      </c>
    </row>
    <row r="45">
      <c r="A45" s="20" t="s">
        <v>25</v>
      </c>
      <c r="B45" s="32">
        <f>MEDIAN(J31:N31)</f>
        <v>2.2</v>
      </c>
      <c r="C45" s="32">
        <f>MEDIAN(J32:N32)</f>
        <v>7.5</v>
      </c>
      <c r="D45" s="22">
        <f>MEDIAN(J33:N33)/1000</f>
        <v>16.8</v>
      </c>
    </row>
    <row r="46">
      <c r="A46" s="23" t="s">
        <v>26</v>
      </c>
      <c r="B46" s="24">
        <f>STDEV(J31:N31)</f>
        <v>0.491934955</v>
      </c>
      <c r="C46" s="24">
        <f>STDEV(J32:N32)</f>
        <v>0.378153408</v>
      </c>
      <c r="D46" s="25">
        <f>STDEV(J33:N33)/1000</f>
        <v>15.78169826</v>
      </c>
    </row>
    <row r="61">
      <c r="A61" s="1" t="s">
        <v>0</v>
      </c>
      <c r="B61" s="2"/>
      <c r="C61" s="2"/>
      <c r="D61" s="2"/>
      <c r="E61" s="2"/>
      <c r="F61" s="2"/>
      <c r="G61" s="3"/>
      <c r="H61" s="4" t="s">
        <v>1</v>
      </c>
      <c r="I61" s="2"/>
      <c r="J61" s="2"/>
      <c r="K61" s="2"/>
      <c r="L61" s="2"/>
      <c r="M61" s="2"/>
      <c r="N61" s="3"/>
    </row>
    <row r="62">
      <c r="A62" s="5" t="s">
        <v>2</v>
      </c>
      <c r="B62" s="5" t="s">
        <v>3</v>
      </c>
      <c r="C62" s="6" t="s">
        <v>4</v>
      </c>
      <c r="D62" s="6" t="s">
        <v>5</v>
      </c>
      <c r="E62" s="6" t="s">
        <v>6</v>
      </c>
      <c r="F62" s="6" t="s">
        <v>7</v>
      </c>
      <c r="G62" s="6" t="s">
        <v>8</v>
      </c>
      <c r="H62" s="5" t="s">
        <v>2</v>
      </c>
      <c r="I62" s="5" t="s">
        <v>3</v>
      </c>
      <c r="J62" s="7" t="s">
        <v>9</v>
      </c>
      <c r="K62" s="7" t="s">
        <v>10</v>
      </c>
      <c r="L62" s="7" t="s">
        <v>11</v>
      </c>
      <c r="M62" s="7" t="s">
        <v>12</v>
      </c>
      <c r="N62" s="7" t="s">
        <v>13</v>
      </c>
    </row>
    <row r="63">
      <c r="A63" s="8" t="s">
        <v>34</v>
      </c>
      <c r="B63" s="9"/>
      <c r="C63" s="11">
        <v>24800.0</v>
      </c>
      <c r="D63" s="11">
        <v>6050.0</v>
      </c>
      <c r="E63" s="11">
        <v>20900.0</v>
      </c>
      <c r="F63" s="11">
        <v>26400.0</v>
      </c>
      <c r="G63" s="11">
        <v>218000.0</v>
      </c>
      <c r="H63" s="8" t="s">
        <v>34</v>
      </c>
      <c r="I63" s="9"/>
      <c r="J63" s="11">
        <v>7600.0</v>
      </c>
      <c r="K63" s="11">
        <v>4480.0</v>
      </c>
      <c r="L63" s="11">
        <v>4280.0</v>
      </c>
      <c r="M63" s="11">
        <v>4820.0</v>
      </c>
      <c r="N63" s="11">
        <v>1720.0</v>
      </c>
    </row>
    <row r="68">
      <c r="A68" s="33" t="s">
        <v>35</v>
      </c>
      <c r="B68" s="33" t="s">
        <v>36</v>
      </c>
      <c r="C68" s="33" t="s">
        <v>37</v>
      </c>
      <c r="D68" s="33" t="s">
        <v>38</v>
      </c>
      <c r="E68" s="33" t="s">
        <v>39</v>
      </c>
    </row>
    <row r="69">
      <c r="A69" s="33" t="s">
        <v>40</v>
      </c>
      <c r="B69" s="26">
        <f>MIN(C63:G63)</f>
        <v>6050</v>
      </c>
      <c r="C69" s="21">
        <f>QUARTILE(C63:G63,1)</f>
        <v>20900</v>
      </c>
      <c r="D69" s="21">
        <f>QUARTILE(C63:G63,3)</f>
        <v>26400</v>
      </c>
      <c r="E69" s="26">
        <f>MAX(C63:G63)</f>
        <v>218000</v>
      </c>
    </row>
    <row r="70">
      <c r="A70" s="33" t="s">
        <v>41</v>
      </c>
      <c r="B70" s="26">
        <f>MIN(J63:N63)</f>
        <v>1720</v>
      </c>
      <c r="C70" s="21">
        <f>QUARTILE(J63:N63,1)</f>
        <v>4280</v>
      </c>
      <c r="D70" s="21">
        <f>QUARTILE(J63:N63,3)</f>
        <v>4820</v>
      </c>
      <c r="E70" s="26">
        <f>MAX(J63:N63)</f>
        <v>7600</v>
      </c>
    </row>
    <row r="74">
      <c r="A74" s="33" t="s">
        <v>35</v>
      </c>
      <c r="B74" s="33" t="s">
        <v>36</v>
      </c>
      <c r="C74" s="33" t="s">
        <v>37</v>
      </c>
      <c r="D74" s="33" t="s">
        <v>38</v>
      </c>
      <c r="E74" s="33" t="s">
        <v>39</v>
      </c>
    </row>
    <row r="75">
      <c r="A75" s="33" t="s">
        <v>40</v>
      </c>
      <c r="B75" s="26">
        <v>1720.0</v>
      </c>
      <c r="C75" s="21">
        <v>4565.0</v>
      </c>
      <c r="D75" s="21">
        <v>23825.0</v>
      </c>
      <c r="E75" s="26">
        <f>F63</f>
        <v>26400</v>
      </c>
    </row>
    <row r="76">
      <c r="A76" s="33" t="s">
        <v>41</v>
      </c>
      <c r="B76" s="26">
        <v>1720.0</v>
      </c>
      <c r="C76" s="21">
        <v>4280.0</v>
      </c>
      <c r="D76" s="21">
        <v>4820.0</v>
      </c>
      <c r="E76" s="26">
        <v>7600.0</v>
      </c>
    </row>
    <row r="87">
      <c r="A87" s="1" t="s">
        <v>0</v>
      </c>
      <c r="B87" s="2"/>
      <c r="C87" s="2"/>
      <c r="D87" s="2"/>
      <c r="E87" s="2"/>
      <c r="F87" s="2"/>
      <c r="G87" s="34"/>
      <c r="H87" s="35" t="s">
        <v>1</v>
      </c>
      <c r="I87" s="2"/>
      <c r="J87" s="2"/>
      <c r="K87" s="2"/>
      <c r="L87" s="2"/>
      <c r="M87" s="2"/>
      <c r="N87" s="3"/>
    </row>
    <row r="88">
      <c r="A88" s="5" t="s">
        <v>2</v>
      </c>
      <c r="B88" s="5" t="s">
        <v>3</v>
      </c>
      <c r="C88" s="6" t="s">
        <v>4</v>
      </c>
      <c r="D88" s="6" t="s">
        <v>5</v>
      </c>
      <c r="E88" s="6" t="s">
        <v>6</v>
      </c>
      <c r="F88" s="6" t="s">
        <v>7</v>
      </c>
      <c r="G88" s="36" t="s">
        <v>8</v>
      </c>
      <c r="H88" s="37" t="s">
        <v>2</v>
      </c>
      <c r="I88" s="5" t="s">
        <v>3</v>
      </c>
      <c r="J88" s="7" t="s">
        <v>9</v>
      </c>
      <c r="K88" s="7" t="s">
        <v>10</v>
      </c>
      <c r="L88" s="7" t="s">
        <v>11</v>
      </c>
      <c r="M88" s="7" t="s">
        <v>12</v>
      </c>
      <c r="N88" s="7" t="s">
        <v>13</v>
      </c>
    </row>
    <row r="89">
      <c r="A89" s="38" t="s">
        <v>42</v>
      </c>
      <c r="B89" s="9"/>
      <c r="C89" s="10">
        <v>261.0</v>
      </c>
      <c r="D89" s="10">
        <v>218.0</v>
      </c>
      <c r="E89" s="10">
        <v>308.0</v>
      </c>
      <c r="F89" s="10">
        <v>388.0</v>
      </c>
      <c r="G89" s="39">
        <v>119.0</v>
      </c>
      <c r="H89" s="40" t="s">
        <v>43</v>
      </c>
      <c r="I89" s="9"/>
      <c r="J89" s="11">
        <v>142.0</v>
      </c>
      <c r="K89" s="11">
        <v>318.0</v>
      </c>
      <c r="L89" s="11">
        <v>96.0</v>
      </c>
      <c r="M89" s="11">
        <v>228.0</v>
      </c>
      <c r="N89" s="11">
        <v>114.0</v>
      </c>
    </row>
    <row r="90">
      <c r="A90" s="41" t="s">
        <v>44</v>
      </c>
      <c r="B90" s="14"/>
      <c r="C90" s="27">
        <v>2.8</v>
      </c>
      <c r="D90" s="27">
        <v>3.4</v>
      </c>
      <c r="E90" s="27">
        <v>2.9</v>
      </c>
      <c r="F90" s="27">
        <v>2.4</v>
      </c>
      <c r="G90" s="42">
        <v>3.1</v>
      </c>
      <c r="H90" s="43" t="s">
        <v>45</v>
      </c>
      <c r="I90" s="14"/>
      <c r="J90" s="27">
        <v>2.2</v>
      </c>
      <c r="K90" s="27">
        <v>2.6</v>
      </c>
      <c r="L90" s="27">
        <v>2.1</v>
      </c>
      <c r="M90" s="27">
        <v>3.2</v>
      </c>
      <c r="N90" s="27">
        <v>2.0</v>
      </c>
    </row>
    <row r="91">
      <c r="P91" s="21" t="str">
        <f t="array" ref="P91:P97">TRANSPOSE(A89:G89)</f>
        <v>AVG Churn/Commit AOP</v>
      </c>
      <c r="R91" s="21" t="str">
        <f t="array" ref="R91:R97">TRANSPOSE(A90:G90)</f>
        <v>AVG Complexity AOP</v>
      </c>
      <c r="T91" s="21" t="str">
        <f t="array" ref="T91:T97">TRANSPOSE(H89:N89)</f>
        <v>AVG Churn/Commit OOP</v>
      </c>
      <c r="V91" s="21" t="str">
        <f t="array" ref="V91:V97">TRANSPOSE(H90:N90)</f>
        <v>AVG Complexity OOP</v>
      </c>
    </row>
    <row r="92">
      <c r="P92" s="21"/>
      <c r="R92" s="21"/>
      <c r="T92" s="21"/>
      <c r="V92" s="21"/>
    </row>
    <row r="93">
      <c r="P93" s="21">
        <v>261.0</v>
      </c>
      <c r="R93" s="32">
        <v>2.8</v>
      </c>
      <c r="T93" s="26">
        <v>142.0</v>
      </c>
      <c r="V93" s="32">
        <v>2.2</v>
      </c>
    </row>
    <row r="94">
      <c r="P94" s="21">
        <v>218.0</v>
      </c>
      <c r="R94" s="32">
        <v>3.4</v>
      </c>
      <c r="T94" s="26">
        <v>318.0</v>
      </c>
      <c r="V94" s="32">
        <v>2.6</v>
      </c>
    </row>
    <row r="95">
      <c r="A95" s="21" t="str">
        <f t="array" ref="A95:A108">TRANSPOSE(A89:N89)</f>
        <v>AVG Churn/Commit AOP</v>
      </c>
      <c r="D95" s="21" t="str">
        <f t="array" ref="D95:D108">TRANSPOSE(A90:N90)</f>
        <v>AVG Complexity AOP</v>
      </c>
      <c r="P95" s="21">
        <v>308.0</v>
      </c>
      <c r="R95" s="32">
        <v>2.9</v>
      </c>
      <c r="T95" s="26">
        <v>96.0</v>
      </c>
      <c r="V95" s="32">
        <v>2.1</v>
      </c>
    </row>
    <row r="96">
      <c r="A96" s="21"/>
      <c r="D96" s="21"/>
      <c r="P96" s="21">
        <v>388.0</v>
      </c>
      <c r="R96" s="32">
        <v>2.4</v>
      </c>
      <c r="T96" s="26">
        <v>228.0</v>
      </c>
      <c r="V96" s="32">
        <v>3.2</v>
      </c>
    </row>
    <row r="97">
      <c r="A97" s="21">
        <v>261.0</v>
      </c>
      <c r="D97" s="32">
        <v>2.8</v>
      </c>
      <c r="P97" s="21">
        <v>119.0</v>
      </c>
      <c r="R97" s="32">
        <v>3.1</v>
      </c>
      <c r="T97" s="26">
        <v>114.0</v>
      </c>
      <c r="V97" s="32">
        <v>2.0</v>
      </c>
    </row>
    <row r="98">
      <c r="A98" s="21">
        <v>218.0</v>
      </c>
      <c r="D98" s="32">
        <v>3.4</v>
      </c>
    </row>
    <row r="99">
      <c r="A99" s="21">
        <v>308.0</v>
      </c>
      <c r="D99" s="32">
        <v>2.9</v>
      </c>
    </row>
    <row r="100">
      <c r="A100" s="21">
        <v>388.0</v>
      </c>
      <c r="D100" s="32">
        <v>2.4</v>
      </c>
    </row>
    <row r="101">
      <c r="A101" s="24">
        <v>119.0</v>
      </c>
      <c r="B101" s="24"/>
      <c r="C101" s="24"/>
      <c r="D101" s="44">
        <v>3.1</v>
      </c>
    </row>
    <row r="102">
      <c r="A102" s="21" t="s">
        <v>43</v>
      </c>
      <c r="D102" s="21" t="s">
        <v>45</v>
      </c>
    </row>
    <row r="103">
      <c r="A103" s="21"/>
      <c r="D103" s="21"/>
    </row>
    <row r="104">
      <c r="A104" s="26">
        <v>142.0</v>
      </c>
      <c r="D104" s="32">
        <v>2.2</v>
      </c>
    </row>
    <row r="105">
      <c r="A105" s="26">
        <v>318.0</v>
      </c>
      <c r="D105" s="32">
        <v>2.6</v>
      </c>
    </row>
    <row r="106">
      <c r="A106" s="26">
        <v>96.0</v>
      </c>
      <c r="D106" s="32">
        <v>2.1</v>
      </c>
    </row>
    <row r="107">
      <c r="A107" s="26">
        <v>228.0</v>
      </c>
      <c r="D107" s="32">
        <v>3.2</v>
      </c>
    </row>
    <row r="108">
      <c r="A108" s="26">
        <v>114.0</v>
      </c>
      <c r="D108" s="32">
        <v>2.0</v>
      </c>
    </row>
  </sheetData>
  <mergeCells count="8">
    <mergeCell ref="A1:G1"/>
    <mergeCell ref="H1:N1"/>
    <mergeCell ref="A29:G29"/>
    <mergeCell ref="H29:N29"/>
    <mergeCell ref="A61:G61"/>
    <mergeCell ref="H61:N61"/>
    <mergeCell ref="A87:G87"/>
    <mergeCell ref="H87:N87"/>
  </mergeCells>
  <drawing r:id="rId1"/>
</worksheet>
</file>